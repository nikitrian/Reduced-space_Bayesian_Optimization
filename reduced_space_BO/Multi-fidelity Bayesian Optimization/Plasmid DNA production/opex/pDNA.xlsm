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imperiallondon-my.sharepoint.com/personal/nt320_ic_ac_uk/Documents/Sobol runs/GSA SALIB SUPERPRO 17/"/>
    </mc:Choice>
  </mc:AlternateContent>
  <xr:revisionPtr revIDLastSave="128" documentId="13_ncr:1_{F30C6532-6F3C-472B-BB7F-3C87541CD2D0}" xr6:coauthVersionLast="47" xr6:coauthVersionMax="47" xr10:uidLastSave="{E59A07DB-BF71-4030-9680-A328ACBD361D}"/>
  <bookViews>
    <workbookView xWindow="33765" yWindow="4965" windowWidth="21600" windowHeight="11385" xr2:uid="{6DF7DED6-2F4D-48D8-90BD-A18027B99E2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1" l="1"/>
  <c r="F7" i="1"/>
  <c r="I7" i="1" s="1"/>
  <c r="G7" i="1"/>
  <c r="J7" i="1" s="1"/>
  <c r="G6" i="1"/>
  <c r="J6" i="1" s="1"/>
  <c r="F6" i="1"/>
  <c r="I6" i="1" s="1"/>
  <c r="I5" i="1"/>
  <c r="J5" i="1"/>
  <c r="F10" i="1"/>
  <c r="I10" i="1" s="1"/>
  <c r="G10" i="1"/>
  <c r="J10" i="1" s="1"/>
  <c r="F11" i="1"/>
  <c r="I11" i="1" s="1"/>
  <c r="G11" i="1"/>
  <c r="J11" i="1" s="1"/>
  <c r="F14" i="1"/>
  <c r="I14" i="1" s="1"/>
  <c r="G14" i="1"/>
  <c r="J14" i="1" s="1"/>
  <c r="F17" i="1"/>
  <c r="G17" i="1"/>
  <c r="F20" i="1"/>
  <c r="G20" i="1"/>
  <c r="F33" i="1"/>
  <c r="F34" i="1" s="1"/>
</calcChain>
</file>

<file path=xl/sharedStrings.xml><?xml version="1.0" encoding="utf-8"?>
<sst xmlns="http://schemas.openxmlformats.org/spreadsheetml/2006/main" count="105" uniqueCount="49">
  <si>
    <t>Excel -&gt; Developer -&gt; Visual Basic -&gt; Tools -&gt; Reference -&gt; SuperPro Designer "Tick"</t>
    <phoneticPr fontId="1" type="noConversion"/>
  </si>
  <si>
    <t>Input</t>
  </si>
  <si>
    <t>Unit</t>
  </si>
  <si>
    <t>Distribution</t>
    <phoneticPr fontId="1" type="noConversion"/>
  </si>
  <si>
    <t>Process unit</t>
  </si>
  <si>
    <t>Main Fermentor (P-04)</t>
  </si>
  <si>
    <t>Fed-batch medium volume</t>
  </si>
  <si>
    <t>Fermentation time</t>
  </si>
  <si>
    <t>Batch medium volume</t>
  </si>
  <si>
    <t>Resuspension (P-21)</t>
  </si>
  <si>
    <t>Flush volume per filter area</t>
  </si>
  <si>
    <t>Input number</t>
  </si>
  <si>
    <t>Ultrafiltration/Diafiltration (P-42)</t>
  </si>
  <si>
    <t>Diafilter volume permeated number</t>
  </si>
  <si>
    <t>Ultrafiltration/Diafiltration (P-79)</t>
  </si>
  <si>
    <t>s</t>
  </si>
  <si>
    <t>m3</t>
  </si>
  <si>
    <t>-</t>
  </si>
  <si>
    <t>kg/m3</t>
  </si>
  <si>
    <t>m3/m2</t>
  </si>
  <si>
    <t>Output number</t>
  </si>
  <si>
    <t>Output</t>
  </si>
  <si>
    <t>Formulation concentration</t>
  </si>
  <si>
    <t>Productivity</t>
  </si>
  <si>
    <t>kg/batch</t>
  </si>
  <si>
    <t>CAPEX</t>
  </si>
  <si>
    <t>OPEX</t>
  </si>
  <si>
    <t>Number of batches</t>
  </si>
  <si>
    <t>Batch Time</t>
  </si>
  <si>
    <t>Cycle Time</t>
  </si>
  <si>
    <t>$</t>
  </si>
  <si>
    <t>Uniform</t>
  </si>
  <si>
    <t>Cost per dose</t>
  </si>
  <si>
    <t>Units</t>
  </si>
  <si>
    <t>h</t>
  </si>
  <si>
    <t>L/m2</t>
  </si>
  <si>
    <t>L</t>
  </si>
  <si>
    <t>Resuspension buffer volume</t>
  </si>
  <si>
    <t>Nominal</t>
  </si>
  <si>
    <t>Lower bound</t>
  </si>
  <si>
    <t>Upper bound</t>
  </si>
  <si>
    <t>Seed Fermentor (P-03)</t>
  </si>
  <si>
    <t>Fed-Batch medium volume</t>
  </si>
  <si>
    <t>Conversion</t>
  </si>
  <si>
    <t>Solid concentration</t>
  </si>
  <si>
    <t>Failure</t>
  </si>
  <si>
    <t>failure %</t>
  </si>
  <si>
    <t>Equilibrate</t>
  </si>
  <si>
    <t>Flask P-15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</si>
</sst>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Calibri"/>
      <family val="2"/>
      <charset val="129"/>
      <scheme val="minor"/>
    </font>
    <font>
      <sz val="8"/>
      <name val="Calibri"/>
      <family val="2"/>
      <charset val="129"/>
      <scheme val="minor"/>
    </font>
    <font>
      <sz val="10"/>
      <name val="Arial"/>
      <family val="2"/>
    </font>
    <font>
      <b/>
      <sz val="11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charset val="129"/>
      <scheme val="minor"/>
    </font>
    <font>
      <sz val="11"/>
      <name val="Calibri"/>
      <family val="2"/>
      <charset val="129"/>
      <scheme val="minor"/>
    </font>
    <font>
      <sz val="11"/>
      <color rgb="FFFF0000"/>
      <name val="Calibri"/>
      <family val="2"/>
      <charset val="129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slantDashDot">
        <color theme="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13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2">
    <cellStyle name="Normal" xfId="0" builtinId="0"/>
    <cellStyle name="Normal 2" xfId="1" xr:uid="{F6FE2338-F1D8-4424-9245-EF5B1575A3C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32FDB-9118-4E17-8911-D431C8BC3E15}">
  <sheetPr codeName="Sheet1"/>
  <dimension ref="A1:L39"/>
  <sheetViews>
    <sheetView tabSelected="1" zoomScale="90" zoomScaleNormal="90" workbookViewId="0">
      <selection activeCell="D21" sqref="D21"/>
    </sheetView>
  </sheetViews>
  <sheetFormatPr defaultRowHeight="15"/>
  <cols>
    <col min="1" max="1" width="15.7109375" customWidth="1"/>
    <col min="2" max="2" width="34.85546875" customWidth="1"/>
    <col min="3" max="3" width="33.28515625" customWidth="1"/>
    <col min="4" max="4" width="14.140625" customWidth="1"/>
    <col min="5" max="5" width="20.140625" customWidth="1"/>
    <col min="6" max="6" width="13.85546875" customWidth="1"/>
    <col min="7" max="7" width="13.28515625" customWidth="1"/>
    <col min="8" max="8" width="10.140625" customWidth="1"/>
    <col min="9" max="9" width="13.85546875" customWidth="1"/>
    <col min="10" max="10" width="15.140625" customWidth="1"/>
    <col min="11" max="11" width="15.7109375" customWidth="1"/>
    <col min="12" max="12" width="18.7109375" customWidth="1"/>
  </cols>
  <sheetData>
    <row r="1" spans="1:12">
      <c r="A1" t="s">
        <v>0</v>
      </c>
    </row>
    <row r="3" spans="1:12" ht="15.75" thickBot="1">
      <c r="A3" s="1" t="s">
        <v>11</v>
      </c>
      <c r="B3" s="1" t="s">
        <v>4</v>
      </c>
      <c r="C3" s="1" t="s">
        <v>1</v>
      </c>
      <c r="D3" s="1" t="s">
        <v>33</v>
      </c>
      <c r="E3" s="1" t="s">
        <v>38</v>
      </c>
      <c r="F3" s="1" t="s">
        <v>39</v>
      </c>
      <c r="G3" s="1" t="s">
        <v>40</v>
      </c>
      <c r="H3" s="1" t="s">
        <v>2</v>
      </c>
      <c r="I3" s="1" t="s">
        <v>39</v>
      </c>
      <c r="J3" s="1" t="s">
        <v>40</v>
      </c>
      <c r="K3" s="1" t="s">
        <v>3</v>
      </c>
    </row>
    <row r="4" spans="1:12">
      <c r="A4" s="8">
        <v>1</v>
      </c>
      <c r="B4" s="7" t="s">
        <v>48</v>
      </c>
      <c r="C4" s="8" t="s">
        <v>7</v>
      </c>
      <c r="D4" s="8" t="s">
        <v>34</v>
      </c>
      <c r="E4" s="8"/>
      <c r="F4" s="8">
        <v>6</v>
      </c>
      <c r="G4" s="8">
        <v>12</v>
      </c>
      <c r="H4" s="8" t="s">
        <v>15</v>
      </c>
      <c r="I4" s="8">
        <v>21600</v>
      </c>
      <c r="J4" s="8">
        <v>108000</v>
      </c>
      <c r="K4" s="7" t="s">
        <v>31</v>
      </c>
    </row>
    <row r="5" spans="1:12">
      <c r="A5" s="10">
        <v>2</v>
      </c>
      <c r="B5" s="12" t="s">
        <v>41</v>
      </c>
      <c r="C5" s="2" t="s">
        <v>7</v>
      </c>
      <c r="D5" s="2" t="s">
        <v>34</v>
      </c>
      <c r="E5" s="2">
        <v>30</v>
      </c>
      <c r="F5" s="2">
        <v>12</v>
      </c>
      <c r="G5" s="2">
        <v>30</v>
      </c>
      <c r="H5" s="2" t="s">
        <v>15</v>
      </c>
      <c r="I5" s="2">
        <f>F5*3600</f>
        <v>43200</v>
      </c>
      <c r="J5" s="2">
        <f>G5*3600</f>
        <v>108000</v>
      </c>
      <c r="K5" s="2" t="s">
        <v>31</v>
      </c>
    </row>
    <row r="6" spans="1:12">
      <c r="A6" s="8">
        <v>3</v>
      </c>
      <c r="B6" s="12"/>
      <c r="C6" s="8" t="s">
        <v>42</v>
      </c>
      <c r="D6" s="7" t="s">
        <v>36</v>
      </c>
      <c r="E6" s="8">
        <v>3.2719999999999998</v>
      </c>
      <c r="F6" s="8">
        <f>E6-0.5*E6</f>
        <v>1.6359999999999999</v>
      </c>
      <c r="G6" s="8">
        <f>E6+0.5*E6</f>
        <v>4.9079999999999995</v>
      </c>
      <c r="H6" s="8"/>
      <c r="I6" s="8">
        <f>F6/1000</f>
        <v>1.6359999999999999E-3</v>
      </c>
      <c r="J6" s="8">
        <f>G6/1000</f>
        <v>4.9079999999999992E-3</v>
      </c>
      <c r="K6" s="7" t="s">
        <v>31</v>
      </c>
    </row>
    <row r="7" spans="1:12">
      <c r="A7" s="10">
        <v>4</v>
      </c>
      <c r="B7" s="12"/>
      <c r="C7" s="8" t="s">
        <v>8</v>
      </c>
      <c r="D7" s="7" t="s">
        <v>36</v>
      </c>
      <c r="E7" s="7">
        <v>20.45065</v>
      </c>
      <c r="F7" s="8">
        <f>E7-0.5*E7</f>
        <v>10.225325</v>
      </c>
      <c r="G7" s="8">
        <f>E7+0.5*E7</f>
        <v>30.675975000000001</v>
      </c>
      <c r="H7" s="8"/>
      <c r="I7" s="8">
        <f>F7/1000</f>
        <v>1.0225325E-2</v>
      </c>
      <c r="J7" s="8">
        <f>G7/1000</f>
        <v>3.0675975000000001E-2</v>
      </c>
      <c r="K7" s="7" t="s">
        <v>31</v>
      </c>
      <c r="L7" s="8"/>
    </row>
    <row r="8" spans="1:12">
      <c r="A8" s="8">
        <v>5</v>
      </c>
      <c r="B8" s="12"/>
      <c r="C8" s="9" t="s">
        <v>43</v>
      </c>
      <c r="D8" s="7" t="s">
        <v>17</v>
      </c>
      <c r="E8" s="7"/>
      <c r="F8" s="7">
        <v>0.9</v>
      </c>
      <c r="G8" s="7">
        <v>0.98</v>
      </c>
      <c r="H8" s="9" t="s">
        <v>17</v>
      </c>
      <c r="I8" s="7">
        <v>0.9</v>
      </c>
      <c r="J8" s="7">
        <v>0.98</v>
      </c>
      <c r="K8" s="7" t="s">
        <v>31</v>
      </c>
      <c r="L8" s="2"/>
    </row>
    <row r="9" spans="1:12">
      <c r="A9" s="10">
        <v>6</v>
      </c>
      <c r="B9" s="11" t="s">
        <v>5</v>
      </c>
      <c r="C9" s="2" t="s">
        <v>7</v>
      </c>
      <c r="D9" s="2" t="s">
        <v>34</v>
      </c>
      <c r="E9" s="2">
        <v>40</v>
      </c>
      <c r="F9" s="2">
        <v>18</v>
      </c>
      <c r="G9" s="2">
        <v>40</v>
      </c>
      <c r="H9" s="2" t="s">
        <v>15</v>
      </c>
      <c r="I9" s="2">
        <v>64800</v>
      </c>
      <c r="J9" s="2">
        <v>144000</v>
      </c>
      <c r="K9" s="2" t="s">
        <v>31</v>
      </c>
      <c r="L9" s="2"/>
    </row>
    <row r="10" spans="1:12">
      <c r="A10" s="8">
        <v>7</v>
      </c>
      <c r="B10" s="11"/>
      <c r="C10" s="4" t="s">
        <v>6</v>
      </c>
      <c r="D10" s="2" t="s">
        <v>36</v>
      </c>
      <c r="E10" s="2">
        <v>38.174999999999997</v>
      </c>
      <c r="F10" s="2">
        <f>$E10-0.5*$E10</f>
        <v>19.087499999999999</v>
      </c>
      <c r="G10" s="2">
        <f>$E10+0.5*$E10</f>
        <v>57.262499999999996</v>
      </c>
      <c r="H10" s="2" t="s">
        <v>16</v>
      </c>
      <c r="I10" s="2">
        <f>F10/1000</f>
        <v>1.90875E-2</v>
      </c>
      <c r="J10" s="2">
        <f t="shared" ref="I10:J14" si="0">G10/1000</f>
        <v>5.7262499999999994E-2</v>
      </c>
      <c r="K10" s="2" t="s">
        <v>31</v>
      </c>
      <c r="L10" s="2"/>
    </row>
    <row r="11" spans="1:12">
      <c r="A11" s="10">
        <v>8</v>
      </c>
      <c r="B11" s="11"/>
      <c r="C11" s="2" t="s">
        <v>8</v>
      </c>
      <c r="D11" s="2" t="s">
        <v>36</v>
      </c>
      <c r="E11" s="2">
        <v>204.50650999999999</v>
      </c>
      <c r="F11" s="2">
        <f>$E11-0.5*$E11</f>
        <v>102.253255</v>
      </c>
      <c r="G11" s="2">
        <f>$E11+0.5*$E11</f>
        <v>306.75976500000002</v>
      </c>
      <c r="H11" s="2" t="s">
        <v>16</v>
      </c>
      <c r="I11" s="5">
        <f>F11/1000</f>
        <v>0.102253255</v>
      </c>
      <c r="J11" s="2">
        <f t="shared" si="0"/>
        <v>0.30675976500000002</v>
      </c>
      <c r="K11" s="2" t="s">
        <v>31</v>
      </c>
      <c r="L11" s="2"/>
    </row>
    <row r="12" spans="1:12">
      <c r="A12" s="8">
        <v>9</v>
      </c>
      <c r="B12" s="11"/>
      <c r="C12" s="9" t="s">
        <v>43</v>
      </c>
      <c r="D12" s="7" t="s">
        <v>17</v>
      </c>
      <c r="E12" s="7"/>
      <c r="F12" s="7">
        <v>0.9</v>
      </c>
      <c r="G12" s="7">
        <v>0.98</v>
      </c>
      <c r="H12" s="9" t="s">
        <v>17</v>
      </c>
      <c r="I12" s="7">
        <v>0.9</v>
      </c>
      <c r="J12" s="7">
        <v>0.98</v>
      </c>
      <c r="K12" s="7" t="s">
        <v>31</v>
      </c>
      <c r="L12" s="7"/>
    </row>
    <row r="13" spans="1:12">
      <c r="A13" s="10">
        <v>10</v>
      </c>
      <c r="B13" s="7"/>
      <c r="C13" s="9" t="s">
        <v>44</v>
      </c>
      <c r="D13" s="7" t="s">
        <v>18</v>
      </c>
      <c r="E13" s="7"/>
      <c r="F13" s="7">
        <v>50</v>
      </c>
      <c r="G13" s="7">
        <v>300</v>
      </c>
      <c r="H13" s="7" t="s">
        <v>18</v>
      </c>
      <c r="I13" s="7">
        <v>50</v>
      </c>
      <c r="J13" s="7">
        <v>300</v>
      </c>
      <c r="K13" s="7" t="s">
        <v>31</v>
      </c>
      <c r="L13" s="7"/>
    </row>
    <row r="14" spans="1:12">
      <c r="A14" s="8">
        <v>11</v>
      </c>
      <c r="B14" s="2" t="s">
        <v>9</v>
      </c>
      <c r="C14" s="2" t="s">
        <v>37</v>
      </c>
      <c r="D14" s="2" t="s">
        <v>36</v>
      </c>
      <c r="E14" s="2">
        <v>578.07169999999996</v>
      </c>
      <c r="F14" s="2">
        <f>$E14-0.5*$E14</f>
        <v>289.03584999999998</v>
      </c>
      <c r="G14" s="2">
        <f>$E14+0.5*$E14</f>
        <v>867.10754999999995</v>
      </c>
      <c r="H14" s="2" t="s">
        <v>16</v>
      </c>
      <c r="I14" s="2">
        <f t="shared" si="0"/>
        <v>0.28903584999999998</v>
      </c>
      <c r="J14" s="6">
        <f t="shared" si="0"/>
        <v>0.86710754999999995</v>
      </c>
      <c r="K14" s="2" t="s">
        <v>31</v>
      </c>
    </row>
    <row r="15" spans="1:12">
      <c r="A15" s="10">
        <v>12</v>
      </c>
      <c r="B15" s="11" t="s">
        <v>12</v>
      </c>
      <c r="C15" s="9" t="s">
        <v>47</v>
      </c>
      <c r="D15" s="7" t="s">
        <v>19</v>
      </c>
      <c r="F15" s="7">
        <v>0.01</v>
      </c>
      <c r="G15" s="7">
        <v>0.05</v>
      </c>
      <c r="H15" s="7" t="s">
        <v>19</v>
      </c>
      <c r="I15" s="7">
        <v>0.01</v>
      </c>
      <c r="J15" s="7">
        <v>0.05</v>
      </c>
      <c r="K15" s="7" t="s">
        <v>31</v>
      </c>
    </row>
    <row r="16" spans="1:12">
      <c r="A16" s="8">
        <v>13</v>
      </c>
      <c r="B16" s="11"/>
      <c r="C16" s="2" t="s">
        <v>13</v>
      </c>
      <c r="D16" s="2" t="s">
        <v>17</v>
      </c>
      <c r="E16" s="2">
        <v>50</v>
      </c>
      <c r="F16" s="2">
        <v>10</v>
      </c>
      <c r="G16" s="2">
        <v>50</v>
      </c>
      <c r="H16" s="2" t="s">
        <v>17</v>
      </c>
      <c r="I16" s="2">
        <v>10</v>
      </c>
      <c r="J16" s="2">
        <v>50</v>
      </c>
      <c r="K16" s="2" t="s">
        <v>31</v>
      </c>
    </row>
    <row r="17" spans="1:12">
      <c r="A17" s="10">
        <v>14</v>
      </c>
      <c r="B17" s="11"/>
      <c r="C17" s="2" t="s">
        <v>10</v>
      </c>
      <c r="D17" s="2" t="s">
        <v>35</v>
      </c>
      <c r="E17" s="2">
        <v>3</v>
      </c>
      <c r="F17" s="2">
        <f>$E17-0.5*$E17</f>
        <v>1.5</v>
      </c>
      <c r="G17" s="2">
        <f>$E17+0.5*$E17</f>
        <v>4.5</v>
      </c>
      <c r="H17" s="2" t="s">
        <v>19</v>
      </c>
      <c r="I17" s="2">
        <v>1.5E-3</v>
      </c>
      <c r="J17" s="5">
        <v>4.4999999999999997E-3</v>
      </c>
      <c r="K17" s="2" t="s">
        <v>31</v>
      </c>
    </row>
    <row r="18" spans="1:12">
      <c r="A18" s="8">
        <v>15</v>
      </c>
      <c r="B18" s="11" t="s">
        <v>14</v>
      </c>
      <c r="C18" s="9" t="s">
        <v>47</v>
      </c>
      <c r="D18" s="7"/>
      <c r="E18" s="7"/>
      <c r="F18" s="7">
        <v>0.01</v>
      </c>
      <c r="G18" s="7">
        <v>0.05</v>
      </c>
      <c r="H18" s="7" t="s">
        <v>19</v>
      </c>
      <c r="I18" s="7">
        <v>0.01</v>
      </c>
      <c r="J18" s="7">
        <v>0.05</v>
      </c>
      <c r="K18" s="7" t="s">
        <v>31</v>
      </c>
    </row>
    <row r="19" spans="1:12">
      <c r="A19" s="10">
        <v>16</v>
      </c>
      <c r="B19" s="11"/>
      <c r="C19" s="4" t="s">
        <v>13</v>
      </c>
      <c r="D19" s="2" t="s">
        <v>17</v>
      </c>
      <c r="E19" s="2">
        <v>40</v>
      </c>
      <c r="F19" s="2">
        <v>10</v>
      </c>
      <c r="G19" s="2">
        <v>50</v>
      </c>
      <c r="H19" s="2" t="s">
        <v>17</v>
      </c>
      <c r="I19" s="5">
        <v>10</v>
      </c>
      <c r="J19" s="2">
        <v>50</v>
      </c>
      <c r="K19" s="2" t="s">
        <v>31</v>
      </c>
    </row>
    <row r="20" spans="1:12">
      <c r="A20" s="8">
        <v>17</v>
      </c>
      <c r="B20" s="11"/>
      <c r="C20" s="4" t="s">
        <v>10</v>
      </c>
      <c r="D20" s="2" t="s">
        <v>35</v>
      </c>
      <c r="E20" s="2">
        <v>1.333</v>
      </c>
      <c r="F20" s="2">
        <f>$E20-0.5*$E20</f>
        <v>0.66649999999999998</v>
      </c>
      <c r="G20" s="2">
        <f>$E20+0.5*$E20</f>
        <v>1.9994999999999998</v>
      </c>
      <c r="H20" s="2" t="s">
        <v>19</v>
      </c>
      <c r="I20" s="2">
        <v>6.7000000000000002E-4</v>
      </c>
      <c r="J20" s="2">
        <v>2E-3</v>
      </c>
      <c r="K20" s="2" t="s">
        <v>31</v>
      </c>
    </row>
    <row r="21" spans="1:12">
      <c r="A21" s="10">
        <v>18</v>
      </c>
      <c r="B21" s="7" t="s">
        <v>45</v>
      </c>
      <c r="C21" s="9" t="s">
        <v>46</v>
      </c>
      <c r="D21">
        <f>-I31</f>
        <v>0</v>
      </c>
      <c r="F21" s="7">
        <v>0</v>
      </c>
      <c r="G21" s="7">
        <v>0.1</v>
      </c>
      <c r="H21" s="7" t="s">
        <v>17</v>
      </c>
      <c r="I21" s="7">
        <v>0</v>
      </c>
      <c r="J21" s="7">
        <v>0.1</v>
      </c>
      <c r="L21" s="2"/>
    </row>
    <row r="22" spans="1:12">
      <c r="L22" s="2"/>
    </row>
    <row r="29" spans="1:12">
      <c r="A29" s="3"/>
      <c r="B29" s="4"/>
      <c r="C29" s="4"/>
      <c r="F29" s="2"/>
      <c r="G29" s="2"/>
      <c r="I29" s="2"/>
      <c r="K29" s="2"/>
    </row>
    <row r="30" spans="1:12">
      <c r="A30" s="3"/>
      <c r="B30" s="2"/>
      <c r="C30" s="4"/>
      <c r="E30" s="2"/>
      <c r="F30" s="2"/>
      <c r="G30" s="2"/>
    </row>
    <row r="31" spans="1:12" ht="15.75" thickBot="1">
      <c r="A31" s="1" t="s">
        <v>20</v>
      </c>
      <c r="B31" s="1" t="s">
        <v>21</v>
      </c>
      <c r="C31" s="1" t="s">
        <v>2</v>
      </c>
    </row>
    <row r="32" spans="1:12">
      <c r="A32" s="3">
        <v>1</v>
      </c>
      <c r="B32" s="2" t="s">
        <v>22</v>
      </c>
      <c r="C32" s="2" t="s">
        <v>18</v>
      </c>
    </row>
    <row r="33" spans="1:6">
      <c r="A33" s="3">
        <v>2</v>
      </c>
      <c r="B33" s="2" t="s">
        <v>23</v>
      </c>
      <c r="C33" s="2" t="s">
        <v>24</v>
      </c>
      <c r="F33">
        <f>0.001/0.000000005</f>
        <v>200000</v>
      </c>
    </row>
    <row r="34" spans="1:6">
      <c r="A34" s="3">
        <v>3</v>
      </c>
      <c r="B34" s="2" t="s">
        <v>25</v>
      </c>
      <c r="C34" s="2" t="s">
        <v>30</v>
      </c>
      <c r="F34">
        <f>100000000/F33</f>
        <v>500</v>
      </c>
    </row>
    <row r="35" spans="1:6">
      <c r="A35" s="3">
        <v>4</v>
      </c>
      <c r="B35" s="2" t="s">
        <v>26</v>
      </c>
      <c r="C35" s="2" t="s">
        <v>30</v>
      </c>
    </row>
    <row r="36" spans="1:6">
      <c r="A36" s="3">
        <v>5</v>
      </c>
      <c r="B36" s="2" t="s">
        <v>27</v>
      </c>
      <c r="C36" s="2" t="s">
        <v>17</v>
      </c>
    </row>
    <row r="37" spans="1:6">
      <c r="A37" s="3">
        <v>6</v>
      </c>
      <c r="B37" s="2" t="s">
        <v>28</v>
      </c>
      <c r="C37" s="2" t="s">
        <v>15</v>
      </c>
    </row>
    <row r="38" spans="1:6">
      <c r="A38" s="3">
        <v>7</v>
      </c>
      <c r="B38" s="2" t="s">
        <v>29</v>
      </c>
      <c r="C38" s="2" t="s">
        <v>15</v>
      </c>
    </row>
    <row r="39" spans="1:6">
      <c r="A39" s="3">
        <v>8</v>
      </c>
      <c r="B39" s="2" t="s">
        <v>32</v>
      </c>
      <c r="C39" s="2" t="s">
        <v>30</v>
      </c>
    </row>
  </sheetData>
  <mergeCells count="4">
    <mergeCell ref="B9:B12"/>
    <mergeCell ref="B5:B8"/>
    <mergeCell ref="B15:B17"/>
    <mergeCell ref="B18:B20"/>
  </mergeCells>
  <phoneticPr fontId="1" type="noConversion"/>
  <pageMargins left="0.7" right="0.7" top="0.75" bottom="0.75" header="0.3" footer="0.3"/>
  <pageSetup orientation="landscape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mapopcbang</dc:creator>
  <cp:lastModifiedBy>Triantafyllou, Niki</cp:lastModifiedBy>
  <dcterms:created xsi:type="dcterms:W3CDTF">2020-05-15T14:54:39Z</dcterms:created>
  <dcterms:modified xsi:type="dcterms:W3CDTF">2023-12-05T20:00:48Z</dcterms:modified>
</cp:coreProperties>
</file>